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ladaTraiko\PandaTech Dropbox\תיקיות משותפות פנדה-טק\משאבי אנוש\רווחה\2025-2026\"/>
    </mc:Choice>
  </mc:AlternateContent>
  <xr:revisionPtr revIDLastSave="0" documentId="13_ncr:1_{96A7AFF3-441E-44C0-B1E0-7D94BD168F78}" xr6:coauthVersionLast="47" xr6:coauthVersionMax="47" xr10:uidLastSave="{00000000-0000-0000-0000-000000000000}"/>
  <bookViews>
    <workbookView xWindow="28680" yWindow="-120" windowWidth="29040" windowHeight="15720" xr2:uid="{FC360630-1B8C-45F2-AD03-171E3ED5D8CC}"/>
  </bookViews>
  <sheets>
    <sheet name="פירוט הוצאות " sheetId="2" r:id="rId1"/>
    <sheet name="הוצאות נוספות" sheetId="3" r:id="rId2"/>
    <sheet name="מפגשים במטה "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2" l="1"/>
  <c r="K2" i="2"/>
  <c r="J2" i="2"/>
  <c r="H30" i="2"/>
  <c r="H18" i="2"/>
  <c r="H12" i="2"/>
  <c r="H29" i="2"/>
  <c r="H28" i="2"/>
  <c r="H27" i="2"/>
  <c r="H26" i="2"/>
  <c r="H25" i="2"/>
  <c r="H24" i="2"/>
  <c r="H20" i="2"/>
  <c r="H23" i="2"/>
  <c r="H22" i="2"/>
  <c r="H21" i="2"/>
  <c r="H19" i="2"/>
  <c r="H17" i="2"/>
  <c r="H16" i="2"/>
  <c r="H15" i="2"/>
  <c r="H14" i="2"/>
  <c r="H13" i="2"/>
  <c r="H11" i="2"/>
  <c r="H10" i="2"/>
  <c r="H9" i="2"/>
  <c r="H6" i="2"/>
  <c r="H8" i="2"/>
  <c r="H7" i="2"/>
  <c r="H5" i="2"/>
  <c r="H4" i="2"/>
  <c r="H2" i="2"/>
  <c r="H32" i="2" l="1"/>
  <c r="F32" i="2" s="1"/>
</calcChain>
</file>

<file path=xl/sharedStrings.xml><?xml version="1.0" encoding="utf-8"?>
<sst xmlns="http://schemas.openxmlformats.org/spreadsheetml/2006/main" count="147" uniqueCount="135">
  <si>
    <t>תאריך</t>
  </si>
  <si>
    <t>חג</t>
  </si>
  <si>
    <t>רעיון לרווחה</t>
  </si>
  <si>
    <t xml:space="preserve">כמות עובדים </t>
  </si>
  <si>
    <t>עלות</t>
  </si>
  <si>
    <t xml:space="preserve">עלות משוערת לראש </t>
  </si>
  <si>
    <t>להתחיל להוציא לפועל ב</t>
  </si>
  <si>
    <t xml:space="preserve">עלות משוערת כוללת </t>
  </si>
  <si>
    <t xml:space="preserve">מה בוצע בפועל </t>
  </si>
  <si>
    <t xml:space="preserve">עלות בפועל </t>
  </si>
  <si>
    <t xml:space="preserve">חישוב חריגה / יתרה </t>
  </si>
  <si>
    <t>רעיונות</t>
  </si>
  <si>
    <t>14.12.2025</t>
  </si>
  <si>
    <t xml:space="preserve">חנוכה- נר ראשון </t>
  </si>
  <si>
    <t>מארז חנוכיה + ברכה
או
חנוכיה פשוטה + נרות ממותג
 + לסוע לכל אתר להרמת סופגניה</t>
  </si>
  <si>
    <t>יעלה כ 50 שח לראש + תוספת מטה 100 שח חדש פעמי +300 ₪ תוספת סופגניות לאתרים</t>
  </si>
  <si>
    <t xml:space="preserve">להתחיל לסגור תאריכים וספקים ב16.11 </t>
  </si>
  <si>
    <t>30.12.2025</t>
  </si>
  <si>
    <t xml:space="preserve">צום עשרה בטבת </t>
  </si>
  <si>
    <t xml:space="preserve">אפשר לשללוח הודעה בקבוצה </t>
  </si>
  <si>
    <t>12.01.2026</t>
  </si>
  <si>
    <r>
      <t xml:space="preserve">ארוחת צהוריים חצי שנתית עם אתר </t>
    </r>
    <r>
      <rPr>
        <b/>
        <sz val="11"/>
        <color theme="1"/>
        <rFont val="Arial"/>
        <family val="2"/>
        <scheme val="minor"/>
      </rPr>
      <t>דרום</t>
    </r>
  </si>
  <si>
    <t>עלות 100 ₪ לראש</t>
  </si>
  <si>
    <t>23.02.2026</t>
  </si>
  <si>
    <r>
      <t xml:space="preserve">ארוחת צהוריים חצי שנתית עם אתר </t>
    </r>
    <r>
      <rPr>
        <b/>
        <sz val="11"/>
        <color theme="1"/>
        <rFont val="Arial"/>
        <family val="2"/>
        <scheme val="minor"/>
      </rPr>
      <t>מלמ</t>
    </r>
  </si>
  <si>
    <t>23.03.2026</t>
  </si>
  <si>
    <r>
      <t xml:space="preserve">ארוחת צהוריים חודשית עם אתר </t>
    </r>
    <r>
      <rPr>
        <b/>
        <sz val="11"/>
        <color theme="1"/>
        <rFont val="Arial"/>
        <family val="2"/>
        <scheme val="minor"/>
      </rPr>
      <t>צפון</t>
    </r>
  </si>
  <si>
    <t xml:space="preserve">תוספת של 30שח לראש בנוסף ל40 המשולמים כיום </t>
  </si>
  <si>
    <t>נציין את פורים במטה החברה בתאריך 13.03 ביום תחפושות ואביזרים!</t>
  </si>
  <si>
    <t>01.2.2026</t>
  </si>
  <si>
    <t>ט''ו בשבט</t>
  </si>
  <si>
    <t>אדנית פלסטיק + ערכת שתילה +תוספת  אדמה</t>
  </si>
  <si>
    <t>https://www.yermilagan.co.il/p/%D7%9E%D7%90%D7%A8%D7%96-%D7%A9%D7%AA%D7%99%D7%9C%D7%94-%D7%90%D7%99%D7%A9%D7%99-%D7%9C%D7%98%D7%A3</t>
  </si>
  <si>
    <t>16.2.2026</t>
  </si>
  <si>
    <t>יום המשפחה (ישראל)</t>
  </si>
  <si>
    <t>מחזיק מפתחות של קיז - רק אם מסכים לעשות מחיר, מוציאים לפועל בבקשה מהעובדים לשלוח תמונה ליום המשפחה ומשם מקדמים מול הספק. 
או
בלוק ממותג פנדה טק (יום המשפחה שמח - PANDA TECH)</t>
  </si>
  <si>
    <t>Keez™ - מחזיק המפתחות שמתגלה באור בעיצוב אישי</t>
  </si>
  <si>
    <t>היי לכולם!🎊</t>
  </si>
  <si>
    <t>02.3.2026</t>
  </si>
  <si>
    <t>תענית אסתר</t>
  </si>
  <si>
    <t>🧚🏻👸🫅🦹‍♀️🧑‍🌾👩‍🍳👩‍🎓👮‍♀️🎭🎎</t>
  </si>
  <si>
    <t>3.3.2026</t>
  </si>
  <si>
    <t>פורים</t>
  </si>
  <si>
    <t xml:space="preserve">משלוח מנות </t>
  </si>
  <si>
    <t>ניתן יהיה להגיע מחופשים, מאופרים, עם אביזרים והמון מצב רוח!</t>
  </si>
  <si>
    <t>01.4.2026</t>
  </si>
  <si>
    <t xml:space="preserve"> פסח</t>
  </si>
  <si>
    <t xml:space="preserve">הרמת כוסית קפה ועוגה תקציב לפי צורך 
 </t>
  </si>
  <si>
    <t>ניפגש בחגיגה!</t>
  </si>
  <si>
    <t>שי לחג 1,000 ₪</t>
  </si>
  <si>
    <t>13.4.2026</t>
  </si>
  <si>
    <t>יום השואה</t>
  </si>
  <si>
    <t>🎭🎊</t>
  </si>
  <si>
    <t>20.4.2026</t>
  </si>
  <si>
    <t>יום הזכרון</t>
  </si>
  <si>
    <t>21.4.2026</t>
  </si>
  <si>
    <t>יום העצמאות</t>
  </si>
  <si>
    <t xml:space="preserve">ערכת מנגל אישית הכוללת 
מיני מנגל , נפנף, מלחיות עם מלח פלפל בפנים ומעל מדבקה ממותגת של פנדה / סינר / כפפות/ מלקחיים/ דגל ישראל
</t>
  </si>
  <si>
    <t xml:space="preserve">75שח למארז לעובד </t>
  </si>
  <si>
    <t xml:space="preserve">להתחיל לעבוד על זה 22.3
לסגור אחרי חלוקהה ב16.4 
</t>
  </si>
  <si>
    <t>4.5.2026</t>
  </si>
  <si>
    <t>ל''ג בעומר</t>
  </si>
  <si>
    <t>11.05.2026</t>
  </si>
  <si>
    <t>21.5.2026</t>
  </si>
  <si>
    <t>שבועות</t>
  </si>
  <si>
    <t>מארז גבינות גד / תנובה / וואטאבר
שובר לעוגת גבינה</t>
  </si>
  <si>
    <t>כ50 שח לעובד + ארוחה במטה שכל אחד מבשל משהו חלבי ואוכלים כולם יחד, פשטידות שקשוקה עוגת גבינה פסטה וכו תקציב למטה 30 שח שתיה קלה מאשראי המטה</t>
  </si>
  <si>
    <t>08.06.2026</t>
  </si>
  <si>
    <r>
      <t xml:space="preserve">ארוחת צהוריים חצי שנתית עם אתר </t>
    </r>
    <r>
      <rPr>
        <b/>
        <sz val="11"/>
        <color theme="1"/>
        <rFont val="Arial"/>
        <family val="2"/>
        <scheme val="minor"/>
      </rPr>
      <t>צפון</t>
    </r>
  </si>
  <si>
    <t>29.06.2026</t>
  </si>
  <si>
    <t>02.7.2026</t>
  </si>
  <si>
    <t>צום י''ז תמוז- דחויי</t>
  </si>
  <si>
    <t>05.7.2026</t>
  </si>
  <si>
    <t xml:space="preserve">יום הולדת 20 לפנדה </t>
  </si>
  <si>
    <t xml:space="preserve">לחשוב עם ולדה בני ואבישי </t>
  </si>
  <si>
    <t>כשירדן חוזרת מחל"ד לסגור תקציב ורעיון</t>
  </si>
  <si>
    <t>22.7.2026</t>
  </si>
  <si>
    <t>ערב תשעה באב</t>
  </si>
  <si>
    <t>12.8.2026</t>
  </si>
  <si>
    <t>טו באב</t>
  </si>
  <si>
    <t xml:space="preserve">מבחנות/ צנצנות עם סוכריות סודה לב + שוקולד/ בונבוניירה תלוי תקציב ארוז יחד במארז
</t>
  </si>
  <si>
    <t>11.9.2026</t>
  </si>
  <si>
    <t>ראש השנה</t>
  </si>
  <si>
    <r>
      <t xml:space="preserve">כיבוד </t>
    </r>
    <r>
      <rPr>
        <b/>
        <sz val="11"/>
        <color theme="1"/>
        <rFont val="Arial"/>
        <family val="2"/>
        <scheme val="minor"/>
      </rPr>
      <t>חלבי</t>
    </r>
    <r>
      <rPr>
        <sz val="11"/>
        <color theme="1"/>
        <rFont val="Arial"/>
        <family val="2"/>
        <scheme val="minor"/>
      </rPr>
      <t xml:space="preserve"> 
ישנה אפשרות לקיים אירוע במטה החברה או במסעדה כפי שנעשה בשנה שעברה.
תוכן להעברה, מצטיינים, מצגות סקירת HR מצגת סקירה עסקית 
בנוסף  
מתנה לעובדי החברה הכוללת : 
מארז הכולל דבש משהו איכותי  או מארז סירים 
סט מצעים/ מגבות - PANDA </t>
    </r>
  </si>
  <si>
    <t>300 שח לראש</t>
  </si>
  <si>
    <t xml:space="preserve">אופציה https://www.ofeklavan.co.il/product/%d7%9e%d7%90%d7%a8%d7%96-%d7%a1%d7%99%d7%a8%d7%99%d7%9d/
</t>
  </si>
  <si>
    <t>14.9.2026</t>
  </si>
  <si>
    <t>צום גדליה</t>
  </si>
  <si>
    <t>20.09.2026</t>
  </si>
  <si>
    <t>יום כיפור</t>
  </si>
  <si>
    <t>02.10.2026</t>
  </si>
  <si>
    <t>שמחת תורה</t>
  </si>
  <si>
    <t>04.12.2026</t>
  </si>
  <si>
    <t>חנוכה - נר ראשון</t>
  </si>
  <si>
    <t xml:space="preserve">סביבון ענק עם ממתקים בפנים או 
ערכת נרות+ גפרורים לינק בהמשך </t>
  </si>
  <si>
    <t xml:space="preserve">יעלה 70/50 שח לראש + תוספת מטה 100 שח חדש פעמי </t>
  </si>
  <si>
    <t>https://www.bing.com/images/search?view=detailV2&amp;ccid=xurTURjN&amp;id=F144314C9F6710B619EEFC533A917C35FBDFA420&amp;thid=OIP.xurTURjN2YQPg7syT7jFsgHaE8&amp;mediaurl=https%3A%2F%2Fwww.nagaya.co.il%2Fwp-content%2Fuploads%2F2016%2F11%2Fhanuka-candles.jpg&amp;cdnurl=https%3A%2F%2Fth.bing.com%2Fth%2Fid%2FR.c6ead35118cdd9840f83bb324fb8c5b2%3Frik%3DIKTf%252bzV8kTpT%252fA%26pid%3DImgRaw%26r%3D0&amp;exph=1024&amp;expw=1536&amp;q=%D7%9E%D7%AA%D7%A0%D7%95%D7%AA+%D7%9C%D7%97%D7%A0%D7%95%D7%9B%D7%94&amp;simid=608056053342814149&amp;FORM=IRPRST&amp;ck=27FC6BC79A24D905F57954D4CBB092E9&amp;selectedIndex=2&amp;itb=0&amp;qpvt=%D7%9E%D7%AA%D7%A0%D7%95%D7%AA+%D7%9C%D7%97%D7%A0%D7%95%D7%9B%D7%94&amp;cw=1375&amp;ch=664&amp;ajaxhist=0&amp;ajaxserp=0</t>
  </si>
  <si>
    <t>ימי הולדת</t>
  </si>
  <si>
    <t xml:space="preserve">שונות </t>
  </si>
  <si>
    <t>סה"כ</t>
  </si>
  <si>
    <t>הוצאות נוספות</t>
  </si>
  <si>
    <t>תדירות</t>
  </si>
  <si>
    <t>ימי קליטה- תקציב בראנץ ומתנות ממותגות</t>
  </si>
  <si>
    <t xml:space="preserve"> אחת לחודש</t>
  </si>
  <si>
    <t xml:space="preserve">נדרש חישוב מגשי אוכל+ 250 מתנה אישית 200  </t>
  </si>
  <si>
    <t>יום הולדת לפנדה</t>
  </si>
  <si>
    <t>5.7.2006- יקרה ב2026</t>
  </si>
  <si>
    <t>ערב חברה / חצי יום כיייף / טיול משותף / סדנאת אוכל כלשהיא יחד וכו. בנוסף מתנה לכל עובד פנדה שלובשת חולצה עם לוגו / בובת פנדה עליאקספרס כ250 שח לראש</t>
  </si>
  <si>
    <t>אירוע 20 שנה לפנדה 2026</t>
  </si>
  <si>
    <t xml:space="preserve">יום כייף/התנדבות לפחות אחת לשנה </t>
  </si>
  <si>
    <t>ימי הולדת עובדים מתנה אישית</t>
  </si>
  <si>
    <t>פעם בשנה לכל עובד</t>
  </si>
  <si>
    <t xml:space="preserve">ביימי </t>
  </si>
  <si>
    <t>עלות 162 שח בשווי שימוש 180</t>
  </si>
  <si>
    <t>ימי הולדת מטה מתנה אישית + תקציב לחגיגה (200שח)</t>
  </si>
  <si>
    <t xml:space="preserve">לפי כמות עובדי מטה כרגע 4 פעמים בשנה </t>
  </si>
  <si>
    <t xml:space="preserve">בקשת התקציב היא 200 שח לראש לטובת עוגה וקישוטים </t>
  </si>
  <si>
    <t>1,000שח</t>
  </si>
  <si>
    <t xml:space="preserve">הרמת כוסית פעמיים בשנה, ראש השנה ופסח </t>
  </si>
  <si>
    <t>יום משפחות</t>
  </si>
  <si>
    <t>פעם בשנה עדיפות ללג בעומר</t>
  </si>
  <si>
    <t>יום משפחות - כל עובד מגיע עם משפחתו בשאיפה לאחר הצהוריים ל: פארק ועל האש עם הפעלות קלות לילדים (שולחנות צביעה, משחקי כדור וכו), קיפצובה, לונה פארק, ספארי, טיול מאורגן כל שהוא מותאם לילדים. 
מטרת היום היא לחבר את המשפחות לחברה ובעצם ליצור סוג של קהילת משפחות עובדי פנדה דבר אשר עוזר להגביר את התמיכה וההדיות לעובדי החברה 
יתרון נוסף הוא העלאת המורל בקרב העובדים אשר יגרום לעובדים להתחבר עוד יותר אל מקום העבודה אשר אכפת לו ממשפחתו של העובד. זוטרים כבכירים כולם שווים ביום הזה. מבחינה תקציבית נאלץ לשבת על כך.</t>
  </si>
  <si>
    <t>?</t>
  </si>
  <si>
    <t>מתנת חג בפסח</t>
  </si>
  <si>
    <t>פעם בשנה</t>
  </si>
  <si>
    <t>להקים אתר מתנות לבחירה/ לעשות סקר בחירת שובר, הרוב מנצח וכולם מקבלים את מה שהרוב בחר</t>
  </si>
  <si>
    <t xml:space="preserve">כרטיס מקס 1,000 שח לעובד </t>
  </si>
  <si>
    <t>שם הוצאה</t>
  </si>
  <si>
    <t xml:space="preserve">עלות  כוללת </t>
  </si>
  <si>
    <t xml:space="preserve">פורום מובילים </t>
  </si>
  <si>
    <t xml:space="preserve">יום קליטה </t>
  </si>
  <si>
    <t>לא יהיה מתנות התקציב הלך לחנוכה בהנחיית בני</t>
  </si>
  <si>
    <t>לא יהיה מתנות בהנחיית אבישי</t>
  </si>
  <si>
    <t xml:space="preserve">נקנו 50 משלוחי מנות ב49.90 ₪ + הדפסת ברכה </t>
  </si>
  <si>
    <t>נקנו 50 חנוכיות 29 ₪ ליחידה +סידורונים שעלו 8 ₪ + שקיות 2.7 ₪ +הדפסת ברכה 50 ₪  +2500 ₪ נרות תואמים חנוכיה  סה"כ לכלל המתנות 4,583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</si>
</sst>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family val="2"/>
      <charset val="177"/>
      <scheme val="minor"/>
    </font>
    <font>
      <sz val="10"/>
      <name val="Arial"/>
      <family val="2"/>
    </font>
    <font>
      <b/>
      <sz val="11"/>
      <name val="Arial"/>
      <family val="2"/>
      <scheme val="minor"/>
    </font>
    <font>
      <b/>
      <sz val="11"/>
      <color theme="1"/>
      <name val="Arial"/>
      <family val="2"/>
      <scheme val="minor"/>
    </font>
    <font>
      <sz val="8"/>
      <name val="Arial"/>
      <family val="2"/>
      <charset val="177"/>
      <scheme val="minor"/>
    </font>
    <font>
      <sz val="11"/>
      <color theme="1"/>
      <name val="Arial"/>
      <family val="2"/>
      <scheme val="minor"/>
    </font>
    <font>
      <sz val="20"/>
      <color rgb="FF000000"/>
      <name val="Inherit"/>
    </font>
    <font>
      <b/>
      <sz val="15"/>
      <color theme="1"/>
      <name val="Arial"/>
      <family val="2"/>
      <scheme val="minor"/>
    </font>
    <font>
      <sz val="11"/>
      <color rgb="FFFF0000"/>
      <name val="Arial"/>
      <family val="2"/>
      <scheme val="minor"/>
    </font>
    <font>
      <sz val="11"/>
      <name val="Arial"/>
      <family val="2"/>
      <charset val="177"/>
      <scheme val="minor"/>
    </font>
    <font>
      <u/>
      <sz val="11"/>
      <color theme="10"/>
      <name val="Arial"/>
      <family val="2"/>
      <charset val="177"/>
      <scheme val="minor"/>
    </font>
  </fonts>
  <fills count="21">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99FFCC"/>
        <bgColor indexed="64"/>
      </patternFill>
    </fill>
    <fill>
      <patternFill patternType="solid">
        <fgColor rgb="FFFFCC66"/>
        <bgColor indexed="64"/>
      </patternFill>
    </fill>
    <fill>
      <patternFill patternType="solid">
        <fgColor rgb="FFFFCCFF"/>
        <bgColor indexed="64"/>
      </patternFill>
    </fill>
    <fill>
      <patternFill patternType="solid">
        <fgColor rgb="FFFFFFCC"/>
        <bgColor indexed="64"/>
      </patternFill>
    </fill>
    <fill>
      <patternFill patternType="solid">
        <fgColor rgb="FFCCFF99"/>
        <bgColor indexed="64"/>
      </patternFill>
    </fill>
    <fill>
      <patternFill patternType="solid">
        <fgColor theme="8" tint="0.39997558519241921"/>
        <bgColor indexed="64"/>
      </patternFill>
    </fill>
    <fill>
      <patternFill patternType="solid">
        <fgColor rgb="FFCCCCFF"/>
        <bgColor indexed="64"/>
      </patternFill>
    </fill>
    <fill>
      <patternFill patternType="solid">
        <fgColor rgb="FFFF9999"/>
        <bgColor indexed="64"/>
      </patternFill>
    </fill>
    <fill>
      <patternFill patternType="solid">
        <fgColor theme="5" tint="0.39997558519241921"/>
        <bgColor indexed="64"/>
      </patternFill>
    </fill>
    <fill>
      <patternFill patternType="solid">
        <fgColor rgb="FF00CC99"/>
        <bgColor indexed="64"/>
      </patternFill>
    </fill>
    <fill>
      <patternFill patternType="solid">
        <fgColor theme="4" tint="0.59999389629810485"/>
        <bgColor indexed="64"/>
      </patternFill>
    </fill>
    <fill>
      <patternFill patternType="solid">
        <fgColor rgb="FFFF0000"/>
        <bgColor indexed="64"/>
      </patternFill>
    </fill>
    <fill>
      <patternFill patternType="solid">
        <fgColor rgb="FF66FFFF"/>
        <bgColor indexed="64"/>
      </patternFill>
    </fill>
    <fill>
      <patternFill patternType="solid">
        <fgColor rgb="FF33CCFF"/>
        <bgColor indexed="64"/>
      </patternFill>
    </fill>
    <fill>
      <patternFill patternType="solid">
        <fgColor rgb="FFFFFF00"/>
        <bgColor indexed="64"/>
      </patternFill>
    </fill>
    <fill>
      <patternFill patternType="solid">
        <fgColor rgb="FF92D05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85">
    <xf numFmtId="0" fontId="0" fillId="0" borderId="0" xfId="0"/>
    <xf numFmtId="0" fontId="0" fillId="7" borderId="1" xfId="0" applyFill="1" applyBorder="1" applyAlignment="1">
      <alignment vertical="center" wrapText="1"/>
    </xf>
    <xf numFmtId="0" fontId="3" fillId="0" borderId="1" xfId="0" applyFont="1" applyBorder="1"/>
    <xf numFmtId="0" fontId="0" fillId="0" borderId="1" xfId="0" applyBorder="1" applyAlignment="1">
      <alignment horizontal="center" vertical="center" wrapText="1"/>
    </xf>
    <xf numFmtId="0" fontId="0" fillId="8" borderId="1" xfId="0"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0" fillId="6" borderId="1" xfId="0" applyFill="1" applyBorder="1" applyAlignment="1">
      <alignment vertical="center"/>
    </xf>
    <xf numFmtId="0" fontId="0" fillId="11" borderId="1" xfId="0" applyFill="1" applyBorder="1" applyAlignment="1">
      <alignment vertical="center"/>
    </xf>
    <xf numFmtId="0" fontId="0" fillId="0" borderId="0" xfId="0" applyAlignment="1">
      <alignment vertical="center"/>
    </xf>
    <xf numFmtId="0" fontId="0" fillId="3"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2" borderId="1" xfId="0" applyFill="1" applyBorder="1" applyAlignment="1">
      <alignment wrapText="1"/>
    </xf>
    <xf numFmtId="0" fontId="0" fillId="15" borderId="1" xfId="0" applyFill="1" applyBorder="1" applyAlignment="1">
      <alignment vertical="center"/>
    </xf>
    <xf numFmtId="0" fontId="0" fillId="15" borderId="1" xfId="0" applyFill="1" applyBorder="1" applyAlignment="1">
      <alignment horizontal="center" vertical="center" wrapText="1"/>
    </xf>
    <xf numFmtId="0" fontId="0" fillId="0" borderId="1" xfId="0" applyBorder="1" applyAlignment="1">
      <alignment horizontal="center" vertical="center"/>
    </xf>
    <xf numFmtId="0" fontId="3" fillId="16" borderId="1" xfId="0" applyFont="1" applyFill="1" applyBorder="1" applyAlignment="1">
      <alignment horizontal="center" vertical="center" wrapText="1"/>
    </xf>
    <xf numFmtId="0" fontId="0" fillId="0" borderId="0" xfId="0" applyAlignment="1">
      <alignment wrapText="1"/>
    </xf>
    <xf numFmtId="0" fontId="3" fillId="0" borderId="1" xfId="0" applyFont="1" applyBorder="1" applyAlignment="1">
      <alignment wrapText="1"/>
    </xf>
    <xf numFmtId="0" fontId="0" fillId="11" borderId="1" xfId="0" applyFill="1" applyBorder="1" applyAlignment="1">
      <alignment vertical="center" wrapText="1"/>
    </xf>
    <xf numFmtId="0" fontId="0" fillId="13" borderId="1" xfId="0" applyFill="1" applyBorder="1" applyAlignment="1">
      <alignment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horizontal="right" vertical="center" wrapText="1"/>
    </xf>
    <xf numFmtId="3" fontId="5" fillId="2" borderId="1" xfId="0" applyNumberFormat="1" applyFont="1" applyFill="1" applyBorder="1" applyAlignment="1">
      <alignment horizontal="center" vertical="center" wrapText="1"/>
    </xf>
    <xf numFmtId="0" fontId="0" fillId="4" borderId="1" xfId="0" applyFill="1" applyBorder="1" applyAlignment="1">
      <alignment vertical="center" wrapText="1"/>
    </xf>
    <xf numFmtId="0" fontId="0" fillId="5" borderId="1" xfId="0" applyFill="1" applyBorder="1" applyAlignment="1">
      <alignment vertical="center" wrapText="1"/>
    </xf>
    <xf numFmtId="0" fontId="9" fillId="17" borderId="1" xfId="0" applyFont="1" applyFill="1" applyBorder="1" applyAlignment="1">
      <alignment vertical="center" wrapText="1"/>
    </xf>
    <xf numFmtId="0" fontId="3"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6" borderId="1" xfId="0" applyFont="1" applyFill="1" applyBorder="1"/>
    <xf numFmtId="0" fontId="3" fillId="6" borderId="1" xfId="0" applyFont="1" applyFill="1" applyBorder="1"/>
    <xf numFmtId="0" fontId="3" fillId="6" borderId="0" xfId="0" applyFont="1" applyFill="1"/>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xf>
    <xf numFmtId="3" fontId="3" fillId="2" borderId="1" xfId="0" applyNumberFormat="1" applyFont="1" applyFill="1" applyBorder="1" applyAlignment="1">
      <alignment horizontal="center" vertical="center"/>
    </xf>
    <xf numFmtId="0" fontId="0" fillId="2" borderId="1" xfId="0" applyFill="1" applyBorder="1" applyAlignment="1">
      <alignment horizontal="center" vertical="center"/>
    </xf>
    <xf numFmtId="0" fontId="8" fillId="2" borderId="1" xfId="0" applyFont="1" applyFill="1" applyBorder="1"/>
    <xf numFmtId="0" fontId="0" fillId="2" borderId="1" xfId="0" applyFill="1" applyBorder="1"/>
    <xf numFmtId="3" fontId="5" fillId="2" borderId="1" xfId="0" applyNumberFormat="1" applyFont="1" applyFill="1" applyBorder="1" applyAlignment="1">
      <alignment horizontal="center" vertical="center"/>
    </xf>
    <xf numFmtId="3" fontId="0" fillId="2" borderId="1" xfId="0" applyNumberFormat="1" applyFill="1" applyBorder="1" applyAlignment="1">
      <alignment horizontal="center" vertical="center"/>
    </xf>
    <xf numFmtId="0" fontId="0" fillId="15" borderId="0" xfId="0" applyFill="1"/>
    <xf numFmtId="0" fontId="6" fillId="2" borderId="1" xfId="0" applyFont="1" applyFill="1" applyBorder="1" applyAlignment="1">
      <alignment vertical="center" readingOrder="2"/>
    </xf>
    <xf numFmtId="0" fontId="3" fillId="16" borderId="1" xfId="0" applyFont="1" applyFill="1" applyBorder="1" applyAlignment="1">
      <alignment horizontal="center" vertical="center"/>
    </xf>
    <xf numFmtId="0" fontId="3" fillId="15" borderId="1" xfId="0" applyFont="1" applyFill="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0" fillId="14" borderId="1" xfId="0"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applyFont="1" applyFill="1" applyBorder="1" applyAlignment="1">
      <alignment horizontal="center" vertical="center"/>
    </xf>
    <xf numFmtId="0" fontId="5" fillId="0" borderId="1" xfId="0" applyFont="1" applyBorder="1" applyAlignment="1">
      <alignment horizontal="center" vertical="center" wrapText="1"/>
    </xf>
    <xf numFmtId="3" fontId="0" fillId="0" borderId="1" xfId="0" applyNumberFormat="1" applyBorder="1" applyAlignment="1">
      <alignment horizontal="center" vertical="center"/>
    </xf>
    <xf numFmtId="0" fontId="0" fillId="18" borderId="1" xfId="0" applyFill="1" applyBorder="1" applyAlignment="1">
      <alignment horizontal="center" vertical="center"/>
    </xf>
    <xf numFmtId="0" fontId="3" fillId="19" borderId="1" xfId="0" applyFont="1" applyFill="1" applyBorder="1" applyAlignment="1">
      <alignment horizontal="center" vertical="center"/>
    </xf>
    <xf numFmtId="0" fontId="0" fillId="19" borderId="1" xfId="0" applyFill="1" applyBorder="1" applyAlignment="1">
      <alignment vertical="center" wrapText="1"/>
    </xf>
    <xf numFmtId="0" fontId="5" fillId="19" borderId="1" xfId="0" applyFont="1" applyFill="1" applyBorder="1" applyAlignment="1">
      <alignment horizontal="center" vertical="center" wrapText="1"/>
    </xf>
    <xf numFmtId="3" fontId="3" fillId="19" borderId="1" xfId="0" applyNumberFormat="1" applyFont="1" applyFill="1" applyBorder="1" applyAlignment="1">
      <alignment horizontal="center" vertical="center"/>
    </xf>
    <xf numFmtId="0" fontId="7" fillId="19" borderId="1" xfId="0" applyFont="1" applyFill="1" applyBorder="1" applyAlignment="1">
      <alignment horizontal="center" vertical="center" wrapText="1"/>
    </xf>
    <xf numFmtId="0" fontId="0" fillId="19" borderId="1" xfId="0" applyFill="1" applyBorder="1" applyAlignment="1">
      <alignment horizontal="center" vertical="center"/>
    </xf>
    <xf numFmtId="0" fontId="8" fillId="19" borderId="1" xfId="0" applyFont="1" applyFill="1" applyBorder="1"/>
    <xf numFmtId="0" fontId="3" fillId="19" borderId="1" xfId="0" applyFont="1" applyFill="1" applyBorder="1"/>
    <xf numFmtId="0" fontId="0" fillId="19" borderId="1" xfId="0" applyFill="1" applyBorder="1"/>
    <xf numFmtId="0" fontId="0" fillId="19" borderId="0" xfId="0" applyFill="1"/>
    <xf numFmtId="0" fontId="5" fillId="19" borderId="1" xfId="0" applyFont="1" applyFill="1" applyBorder="1" applyAlignment="1">
      <alignment horizontal="center" vertical="center"/>
    </xf>
    <xf numFmtId="0" fontId="3" fillId="20" borderId="1" xfId="0" applyFont="1" applyFill="1" applyBorder="1" applyAlignment="1">
      <alignment horizontal="center" vertical="center" wrapText="1"/>
    </xf>
    <xf numFmtId="0" fontId="0" fillId="20" borderId="1" xfId="0" applyFill="1" applyBorder="1" applyAlignment="1">
      <alignment vertical="center" wrapText="1"/>
    </xf>
    <xf numFmtId="0" fontId="5" fillId="20" borderId="1" xfId="0" applyFont="1" applyFill="1" applyBorder="1" applyAlignment="1">
      <alignment horizontal="center" vertical="center" wrapText="1"/>
    </xf>
    <xf numFmtId="3" fontId="0" fillId="20" borderId="1" xfId="0" applyNumberFormat="1" applyFill="1" applyBorder="1" applyAlignment="1">
      <alignment horizontal="center" vertical="center"/>
    </xf>
    <xf numFmtId="0" fontId="0" fillId="20" borderId="1" xfId="0" applyFill="1" applyBorder="1" applyAlignment="1">
      <alignment horizontal="center" vertical="center" wrapText="1"/>
    </xf>
    <xf numFmtId="0" fontId="8" fillId="20" borderId="1" xfId="0" applyFont="1" applyFill="1" applyBorder="1" applyAlignment="1">
      <alignment wrapText="1"/>
    </xf>
    <xf numFmtId="0" fontId="10" fillId="20" borderId="1" xfId="2" applyFill="1" applyBorder="1" applyAlignment="1">
      <alignment wrapText="1"/>
    </xf>
    <xf numFmtId="0" fontId="0" fillId="20" borderId="1" xfId="0" applyFill="1" applyBorder="1" applyAlignment="1">
      <alignment wrapText="1"/>
    </xf>
    <xf numFmtId="0" fontId="0" fillId="20" borderId="0" xfId="0" applyFill="1" applyAlignment="1">
      <alignment wrapText="1"/>
    </xf>
    <xf numFmtId="0" fontId="3" fillId="20" borderId="1" xfId="0" applyFont="1" applyFill="1" applyBorder="1" applyAlignment="1">
      <alignment horizontal="center" vertical="center"/>
    </xf>
    <xf numFmtId="0" fontId="0" fillId="20" borderId="1" xfId="0" applyFill="1" applyBorder="1" applyAlignment="1">
      <alignment horizontal="center" vertical="center"/>
    </xf>
    <xf numFmtId="0" fontId="8" fillId="20" borderId="1" xfId="0" applyFont="1" applyFill="1" applyBorder="1"/>
    <xf numFmtId="0" fontId="10" fillId="20" borderId="0" xfId="2" applyFill="1"/>
    <xf numFmtId="0" fontId="0" fillId="20" borderId="1" xfId="0" applyFill="1" applyBorder="1"/>
    <xf numFmtId="0" fontId="6" fillId="20" borderId="1" xfId="0" applyFont="1" applyFill="1" applyBorder="1" applyAlignment="1">
      <alignment vertical="center" readingOrder="2"/>
    </xf>
    <xf numFmtId="3" fontId="0" fillId="19" borderId="1" xfId="0" applyNumberFormat="1" applyFill="1" applyBorder="1" applyAlignment="1">
      <alignment horizontal="center" vertical="center"/>
    </xf>
  </cellXfs>
  <cellStyles count="3">
    <cellStyle name="Normal" xfId="0" builtinId="0"/>
    <cellStyle name="Normal 2" xfId="1" xr:uid="{AAE64B38-8EB0-4461-8173-284287662CDD}"/>
    <cellStyle name="היפר-קישור" xfId="2" builtinId="8"/>
  </cellStyles>
  <dxfs count="0"/>
  <tableStyles count="0" defaultTableStyle="TableStyleMedium2" defaultPivotStyle="PivotStyleLight16"/>
  <colors>
    <mruColors>
      <color rgb="FF33CCFF"/>
      <color rgb="FF66CCFF"/>
      <color rgb="FFFFCCFF"/>
      <color rgb="FF66FFFF"/>
      <color rgb="FF00CC99"/>
      <color rgb="FFFFCC66"/>
      <color rgb="FFFF9999"/>
      <color rgb="FFCCCCFF"/>
      <color rgb="FFCC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keez-shop.com/products/%D7%A7%D7%99%D7%96-%D7%9E%D7%97%D7%96%D7%99%D7%A7-%D7%9E%D7%A4%D7%AA%D7%97%D7%95%D7%AA-%D7%91%D7%A2%D7%99%D7%A6%D7%95%D7%91-%D7%90%D7%99%D7%A9%D7%99" TargetMode="External"/><Relationship Id="rId1" Type="http://schemas.openxmlformats.org/officeDocument/2006/relationships/hyperlink" Target="https://www.yermilagan.co.il/p/%D7%9E%D7%90%D7%A8%D7%96-%D7%A9%D7%AA%D7%99%D7%9C%D7%94-%D7%90%D7%99%D7%A9%D7%99-%D7%9C%D7%98%D7%A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45A7-5EC6-4E68-A3EF-B353EDFE495C}">
  <dimension ref="A1:P32"/>
  <sheetViews>
    <sheetView rightToLeft="1" tabSelected="1" zoomScale="58" zoomScaleNormal="58" workbookViewId="0">
      <pane ySplit="1" topLeftCell="A5" activePane="bottomLeft" state="frozen"/>
      <selection pane="bottomLeft" activeCell="A10" sqref="A10:XFD10"/>
    </sheetView>
  </sheetViews>
  <sheetFormatPr defaultRowHeight="14"/>
  <cols>
    <col min="1" max="1" width="23.5" style="50" customWidth="1"/>
    <col min="2" max="2" width="14.58203125" style="3" customWidth="1"/>
    <col min="3" max="3" width="40.08203125" style="51" customWidth="1"/>
    <col min="4" max="5" width="21.58203125" style="18" customWidth="1"/>
    <col min="6" max="6" width="55.33203125" style="18" customWidth="1"/>
    <col min="7" max="7" width="36.58203125" style="18" customWidth="1"/>
    <col min="8" max="8" width="21.58203125" style="18" customWidth="1"/>
    <col min="9" max="9" width="44.83203125" style="52" customWidth="1"/>
    <col min="10" max="10" width="23.5" style="41" customWidth="1"/>
    <col min="11" max="11" width="18" style="42" customWidth="1"/>
    <col min="12" max="12" width="40.58203125" style="43" customWidth="1"/>
    <col min="13" max="13" width="8.58203125" style="43"/>
    <col min="14" max="15" width="8.58203125" style="43" customWidth="1"/>
    <col min="16" max="16" width="35.08203125" style="43" customWidth="1"/>
  </cols>
  <sheetData>
    <row r="1" spans="1:16" s="37" customFormat="1">
      <c r="A1" s="33" t="s">
        <v>0</v>
      </c>
      <c r="B1" s="27" t="s">
        <v>1</v>
      </c>
      <c r="C1" s="34" t="s">
        <v>2</v>
      </c>
      <c r="D1" s="33" t="s">
        <v>3</v>
      </c>
      <c r="E1" s="33" t="s">
        <v>4</v>
      </c>
      <c r="F1" s="33" t="s">
        <v>5</v>
      </c>
      <c r="G1" s="33" t="s">
        <v>6</v>
      </c>
      <c r="H1" s="33" t="s">
        <v>7</v>
      </c>
      <c r="I1" s="33" t="s">
        <v>8</v>
      </c>
      <c r="J1" s="33" t="s">
        <v>9</v>
      </c>
      <c r="K1" s="35" t="s">
        <v>10</v>
      </c>
      <c r="L1" s="36" t="s">
        <v>11</v>
      </c>
      <c r="M1" s="36"/>
      <c r="N1" s="36"/>
      <c r="O1" s="36"/>
      <c r="P1" s="36"/>
    </row>
    <row r="2" spans="1:16" s="67" customFormat="1" ht="247.4" customHeight="1">
      <c r="A2" s="58" t="s">
        <v>12</v>
      </c>
      <c r="B2" s="59" t="s">
        <v>13</v>
      </c>
      <c r="C2" s="60" t="s">
        <v>14</v>
      </c>
      <c r="D2" s="58">
        <v>45</v>
      </c>
      <c r="E2" s="58">
        <v>50</v>
      </c>
      <c r="F2" s="60" t="s">
        <v>15</v>
      </c>
      <c r="G2" s="58" t="s">
        <v>16</v>
      </c>
      <c r="H2" s="61">
        <f>D2*E2+400</f>
        <v>2650</v>
      </c>
      <c r="I2" s="62" t="s">
        <v>134</v>
      </c>
      <c r="J2" s="63">
        <f>2083+2500</f>
        <v>4583</v>
      </c>
      <c r="K2" s="62">
        <f>H2-J2</f>
        <v>-1933</v>
      </c>
      <c r="L2" s="65"/>
      <c r="M2" s="66"/>
      <c r="N2" s="66"/>
      <c r="O2" s="66"/>
      <c r="P2" s="66"/>
    </row>
    <row r="3" spans="1:16" s="67" customFormat="1">
      <c r="A3" s="58" t="s">
        <v>17</v>
      </c>
      <c r="B3" s="59" t="s">
        <v>18</v>
      </c>
      <c r="C3" s="68" t="s">
        <v>19</v>
      </c>
      <c r="D3" s="58">
        <v>45</v>
      </c>
      <c r="E3" s="58"/>
      <c r="F3" s="58">
        <v>0</v>
      </c>
      <c r="G3" s="58"/>
      <c r="H3" s="58">
        <v>0</v>
      </c>
      <c r="I3" s="58"/>
      <c r="J3" s="63"/>
      <c r="K3" s="64"/>
      <c r="L3" s="66"/>
      <c r="M3" s="66"/>
      <c r="N3" s="66"/>
      <c r="O3" s="66"/>
      <c r="P3" s="66"/>
    </row>
    <row r="4" spans="1:16" s="46" customFormat="1" ht="42">
      <c r="A4" s="38" t="s">
        <v>20</v>
      </c>
      <c r="B4" s="1" t="s">
        <v>21</v>
      </c>
      <c r="C4" s="44"/>
      <c r="D4" s="38">
        <v>45</v>
      </c>
      <c r="E4" s="38">
        <v>100</v>
      </c>
      <c r="F4" s="41" t="s">
        <v>22</v>
      </c>
      <c r="G4" s="41"/>
      <c r="H4" s="45">
        <f t="shared" ref="H4:H17" si="0">E4*D4</f>
        <v>4500</v>
      </c>
      <c r="I4" s="41"/>
      <c r="J4" s="41"/>
      <c r="K4" s="42"/>
      <c r="L4" s="43"/>
      <c r="M4" s="43"/>
      <c r="N4" s="43"/>
      <c r="O4" s="43"/>
      <c r="P4" s="43"/>
    </row>
    <row r="5" spans="1:16" ht="42">
      <c r="A5" s="38" t="s">
        <v>23</v>
      </c>
      <c r="B5" s="1" t="s">
        <v>24</v>
      </c>
      <c r="C5" s="39"/>
      <c r="D5" s="38">
        <v>45</v>
      </c>
      <c r="E5" s="38">
        <v>100</v>
      </c>
      <c r="F5" s="41" t="s">
        <v>22</v>
      </c>
      <c r="G5" s="38"/>
      <c r="H5" s="45">
        <f t="shared" si="0"/>
        <v>4500</v>
      </c>
      <c r="I5" s="38"/>
    </row>
    <row r="6" spans="1:16" ht="42">
      <c r="A6" s="38" t="s">
        <v>25</v>
      </c>
      <c r="B6" s="1" t="s">
        <v>26</v>
      </c>
      <c r="C6" s="39"/>
      <c r="D6" s="38">
        <v>45</v>
      </c>
      <c r="E6" s="38">
        <v>100</v>
      </c>
      <c r="F6" s="38" t="s">
        <v>27</v>
      </c>
      <c r="G6" s="38"/>
      <c r="H6" s="45">
        <f t="shared" si="0"/>
        <v>4500</v>
      </c>
      <c r="I6" s="38"/>
      <c r="P6" s="47" t="s">
        <v>28</v>
      </c>
    </row>
    <row r="7" spans="1:16" s="77" customFormat="1" ht="85.4" customHeight="1">
      <c r="A7" s="69" t="s">
        <v>29</v>
      </c>
      <c r="B7" s="70" t="s">
        <v>30</v>
      </c>
      <c r="C7" s="71" t="s">
        <v>31</v>
      </c>
      <c r="D7" s="69">
        <v>45</v>
      </c>
      <c r="E7" s="69"/>
      <c r="F7" s="69"/>
      <c r="G7" s="69">
        <v>18.100000000000001</v>
      </c>
      <c r="H7" s="72">
        <f t="shared" si="0"/>
        <v>0</v>
      </c>
      <c r="I7" s="69" t="s">
        <v>131</v>
      </c>
      <c r="J7" s="73"/>
      <c r="K7" s="74"/>
      <c r="L7" s="75" t="s">
        <v>32</v>
      </c>
      <c r="M7" s="76"/>
      <c r="N7" s="76"/>
      <c r="O7" s="76"/>
      <c r="P7" s="76"/>
    </row>
    <row r="8" spans="1:16" ht="112.75" customHeight="1">
      <c r="A8" s="78" t="s">
        <v>33</v>
      </c>
      <c r="B8" s="70" t="s">
        <v>34</v>
      </c>
      <c r="C8" s="71" t="s">
        <v>35</v>
      </c>
      <c r="D8" s="78">
        <v>45</v>
      </c>
      <c r="E8" s="78">
        <v>45</v>
      </c>
      <c r="F8" s="78">
        <v>45</v>
      </c>
      <c r="G8" s="78">
        <v>2.2000000000000002</v>
      </c>
      <c r="H8" s="72">
        <f t="shared" si="0"/>
        <v>2025</v>
      </c>
      <c r="I8" s="69" t="s">
        <v>132</v>
      </c>
      <c r="J8" s="79"/>
      <c r="K8" s="80"/>
      <c r="L8" s="81" t="s">
        <v>36</v>
      </c>
      <c r="M8" s="82"/>
      <c r="N8" s="82"/>
      <c r="O8" s="82"/>
      <c r="P8" s="83" t="s">
        <v>37</v>
      </c>
    </row>
    <row r="9" spans="1:16" s="48" customFormat="1">
      <c r="A9" s="38" t="s">
        <v>38</v>
      </c>
      <c r="B9" s="31" t="s">
        <v>39</v>
      </c>
      <c r="C9" s="39"/>
      <c r="D9" s="38">
        <v>45</v>
      </c>
      <c r="E9" s="38"/>
      <c r="F9" s="38">
        <v>0</v>
      </c>
      <c r="G9" s="38"/>
      <c r="H9" s="45">
        <f t="shared" si="0"/>
        <v>0</v>
      </c>
      <c r="I9" s="38"/>
      <c r="J9" s="38"/>
      <c r="K9" s="38"/>
      <c r="L9" s="38"/>
      <c r="M9" s="38"/>
      <c r="N9" s="38"/>
      <c r="P9" s="48" t="s">
        <v>40</v>
      </c>
    </row>
    <row r="10" spans="1:16" s="58" customFormat="1" ht="51.5" customHeight="1">
      <c r="A10" s="58" t="s">
        <v>41</v>
      </c>
      <c r="B10" s="59" t="s">
        <v>42</v>
      </c>
      <c r="C10" s="68" t="s">
        <v>43</v>
      </c>
      <c r="D10" s="58">
        <v>45</v>
      </c>
      <c r="E10" s="58">
        <v>65</v>
      </c>
      <c r="F10" s="58">
        <v>65</v>
      </c>
      <c r="H10" s="84">
        <f t="shared" si="0"/>
        <v>2925</v>
      </c>
      <c r="I10" s="58" t="s">
        <v>133</v>
      </c>
      <c r="J10" s="58">
        <v>2495</v>
      </c>
      <c r="K10" s="62">
        <f>H10-J10</f>
        <v>430</v>
      </c>
      <c r="P10" s="58" t="s">
        <v>44</v>
      </c>
    </row>
    <row r="11" spans="1:16" s="48" customFormat="1" ht="42">
      <c r="A11" s="38" t="s">
        <v>45</v>
      </c>
      <c r="B11" s="30" t="s">
        <v>46</v>
      </c>
      <c r="C11" s="53" t="s">
        <v>47</v>
      </c>
      <c r="D11" s="38">
        <v>45</v>
      </c>
      <c r="E11" s="38">
        <v>30</v>
      </c>
      <c r="F11" s="40">
        <v>30</v>
      </c>
      <c r="G11" s="38"/>
      <c r="H11" s="45">
        <f t="shared" si="0"/>
        <v>1350</v>
      </c>
      <c r="I11" s="38"/>
      <c r="J11" s="38"/>
      <c r="K11" s="38"/>
      <c r="L11" s="38"/>
      <c r="M11" s="38"/>
      <c r="N11" s="38"/>
      <c r="P11" s="48" t="s">
        <v>48</v>
      </c>
    </row>
    <row r="12" spans="1:16" s="48" customFormat="1">
      <c r="A12" s="38" t="s">
        <v>45</v>
      </c>
      <c r="B12" s="30" t="s">
        <v>46</v>
      </c>
      <c r="C12" s="53" t="s">
        <v>49</v>
      </c>
      <c r="D12" s="38">
        <v>45</v>
      </c>
      <c r="E12" s="38">
        <v>850</v>
      </c>
      <c r="F12" s="38"/>
      <c r="G12" s="38"/>
      <c r="H12" s="45">
        <f t="shared" si="0"/>
        <v>38250</v>
      </c>
      <c r="I12" s="38"/>
      <c r="J12" s="38"/>
      <c r="K12" s="38"/>
      <c r="L12" s="38"/>
      <c r="M12" s="38"/>
      <c r="N12" s="38"/>
    </row>
    <row r="13" spans="1:16" s="49" customFormat="1" ht="83.15" customHeight="1">
      <c r="A13" s="38" t="s">
        <v>50</v>
      </c>
      <c r="B13" s="30" t="s">
        <v>51</v>
      </c>
      <c r="C13" s="39"/>
      <c r="D13" s="38">
        <v>45</v>
      </c>
      <c r="E13" s="38"/>
      <c r="F13" s="38"/>
      <c r="G13" s="38"/>
      <c r="H13" s="45">
        <f t="shared" si="0"/>
        <v>0</v>
      </c>
      <c r="I13" s="38"/>
      <c r="J13" s="38"/>
      <c r="K13" s="38"/>
      <c r="L13" s="38"/>
      <c r="M13" s="38"/>
      <c r="N13" s="38"/>
      <c r="P13" s="49" t="s">
        <v>52</v>
      </c>
    </row>
    <row r="14" spans="1:16" s="49" customFormat="1">
      <c r="A14" s="38" t="s">
        <v>53</v>
      </c>
      <c r="B14" s="30" t="s">
        <v>54</v>
      </c>
      <c r="C14" s="39"/>
      <c r="D14" s="38">
        <v>45</v>
      </c>
      <c r="E14" s="38"/>
      <c r="F14" s="38"/>
      <c r="G14" s="38"/>
      <c r="H14" s="45">
        <f t="shared" si="0"/>
        <v>0</v>
      </c>
      <c r="I14" s="38"/>
      <c r="J14" s="38"/>
      <c r="K14" s="38"/>
      <c r="L14" s="38"/>
      <c r="M14" s="38"/>
      <c r="N14" s="38"/>
    </row>
    <row r="15" spans="1:16" s="48" customFormat="1" ht="84">
      <c r="A15" s="38" t="s">
        <v>55</v>
      </c>
      <c r="B15" s="30" t="s">
        <v>56</v>
      </c>
      <c r="C15" s="26" t="s">
        <v>57</v>
      </c>
      <c r="D15" s="38">
        <v>45</v>
      </c>
      <c r="E15" s="38">
        <v>75</v>
      </c>
      <c r="F15" s="38" t="s">
        <v>58</v>
      </c>
      <c r="G15" s="25" t="s">
        <v>59</v>
      </c>
      <c r="H15" s="45">
        <f t="shared" si="0"/>
        <v>3375</v>
      </c>
      <c r="I15" s="38"/>
      <c r="J15" s="38"/>
      <c r="K15" s="38"/>
      <c r="L15" s="38"/>
      <c r="M15" s="38"/>
      <c r="N15" s="38"/>
    </row>
    <row r="16" spans="1:16" s="49" customFormat="1">
      <c r="A16" s="38" t="s">
        <v>60</v>
      </c>
      <c r="B16" s="30" t="s">
        <v>61</v>
      </c>
      <c r="C16" s="39"/>
      <c r="D16" s="38"/>
      <c r="E16" s="38"/>
      <c r="F16" s="38"/>
      <c r="G16" s="38"/>
      <c r="H16" s="45">
        <f t="shared" si="0"/>
        <v>0</v>
      </c>
      <c r="I16" s="38"/>
      <c r="J16" s="38"/>
      <c r="K16" s="38"/>
      <c r="L16" s="38"/>
      <c r="M16" s="38"/>
      <c r="N16" s="38"/>
    </row>
    <row r="17" spans="1:14" ht="42">
      <c r="A17" s="25" t="s">
        <v>62</v>
      </c>
      <c r="B17" s="1" t="s">
        <v>24</v>
      </c>
      <c r="C17" s="44"/>
      <c r="D17" s="38">
        <v>45</v>
      </c>
      <c r="E17" s="38">
        <v>100</v>
      </c>
      <c r="F17" s="41" t="s">
        <v>27</v>
      </c>
      <c r="G17" s="41"/>
      <c r="H17" s="45">
        <f t="shared" si="0"/>
        <v>4500</v>
      </c>
      <c r="I17" s="41"/>
      <c r="L17" s="38"/>
      <c r="M17" s="38"/>
      <c r="N17" s="38"/>
    </row>
    <row r="18" spans="1:14" s="19" customFormat="1" ht="42">
      <c r="A18" s="25" t="s">
        <v>63</v>
      </c>
      <c r="B18" s="30" t="s">
        <v>64</v>
      </c>
      <c r="C18" s="26" t="s">
        <v>65</v>
      </c>
      <c r="D18" s="25">
        <v>45</v>
      </c>
      <c r="E18" s="25"/>
      <c r="F18" s="25" t="s">
        <v>66</v>
      </c>
      <c r="G18" s="25"/>
      <c r="H18" s="45">
        <f>E18*D18+30</f>
        <v>30</v>
      </c>
      <c r="I18" s="25"/>
      <c r="J18" s="25"/>
      <c r="K18" s="25"/>
      <c r="L18" s="38"/>
      <c r="M18" s="38"/>
      <c r="N18" s="38"/>
    </row>
    <row r="19" spans="1:14" ht="42">
      <c r="A19" s="25" t="s">
        <v>67</v>
      </c>
      <c r="B19" s="1" t="s">
        <v>68</v>
      </c>
      <c r="C19" s="44"/>
      <c r="D19" s="38">
        <v>45</v>
      </c>
      <c r="E19" s="38">
        <v>100</v>
      </c>
      <c r="F19" s="41" t="s">
        <v>27</v>
      </c>
      <c r="G19" s="41"/>
      <c r="H19" s="45">
        <f t="shared" ref="H19:H30" si="1">E19*D19</f>
        <v>4500</v>
      </c>
      <c r="I19" s="41"/>
      <c r="L19" s="38"/>
      <c r="M19" s="38"/>
      <c r="N19" s="38"/>
    </row>
    <row r="20" spans="1:14" ht="42">
      <c r="A20" s="25" t="s">
        <v>69</v>
      </c>
      <c r="B20" s="1" t="s">
        <v>21</v>
      </c>
      <c r="C20" s="44"/>
      <c r="D20" s="38">
        <v>45</v>
      </c>
      <c r="E20" s="38">
        <v>100</v>
      </c>
      <c r="F20" s="41" t="s">
        <v>27</v>
      </c>
      <c r="G20" s="41"/>
      <c r="H20" s="45">
        <f t="shared" si="1"/>
        <v>4500</v>
      </c>
      <c r="I20" s="41"/>
    </row>
    <row r="21" spans="1:14">
      <c r="A21" s="38" t="s">
        <v>70</v>
      </c>
      <c r="B21" s="31" t="s">
        <v>71</v>
      </c>
      <c r="C21" s="39"/>
      <c r="D21" s="38">
        <v>45</v>
      </c>
      <c r="E21" s="38"/>
      <c r="F21" s="41">
        <v>0</v>
      </c>
      <c r="G21" s="41"/>
      <c r="H21" s="45">
        <f t="shared" si="1"/>
        <v>0</v>
      </c>
      <c r="I21" s="41"/>
    </row>
    <row r="22" spans="1:14" ht="28">
      <c r="A22" s="38" t="s">
        <v>72</v>
      </c>
      <c r="B22" s="32" t="s">
        <v>73</v>
      </c>
      <c r="C22" s="39" t="s">
        <v>74</v>
      </c>
      <c r="D22" s="38">
        <v>45</v>
      </c>
      <c r="E22" s="38">
        <v>1500</v>
      </c>
      <c r="F22" s="54" t="s">
        <v>75</v>
      </c>
      <c r="G22" s="41"/>
      <c r="H22" s="45">
        <f t="shared" si="1"/>
        <v>67500</v>
      </c>
      <c r="I22" s="41"/>
    </row>
    <row r="23" spans="1:14">
      <c r="A23" s="38" t="s">
        <v>76</v>
      </c>
      <c r="B23" s="31" t="s">
        <v>77</v>
      </c>
      <c r="C23" s="39"/>
      <c r="D23" s="38">
        <v>45</v>
      </c>
      <c r="E23" s="38"/>
      <c r="F23" s="41">
        <v>0</v>
      </c>
      <c r="G23" s="41"/>
      <c r="H23" s="45">
        <f t="shared" si="1"/>
        <v>0</v>
      </c>
      <c r="I23" s="41"/>
    </row>
    <row r="24" spans="1:14" ht="42">
      <c r="A24" s="38" t="s">
        <v>78</v>
      </c>
      <c r="B24" s="30" t="s">
        <v>79</v>
      </c>
      <c r="C24" s="29" t="s">
        <v>80</v>
      </c>
      <c r="D24" s="38">
        <v>45</v>
      </c>
      <c r="E24" s="38">
        <v>30</v>
      </c>
      <c r="F24" s="41">
        <v>30</v>
      </c>
      <c r="G24" s="41"/>
      <c r="H24" s="45">
        <f t="shared" si="1"/>
        <v>1350</v>
      </c>
      <c r="I24" s="41"/>
    </row>
    <row r="25" spans="1:14" ht="126">
      <c r="A25" s="38" t="s">
        <v>81</v>
      </c>
      <c r="B25" s="30" t="s">
        <v>82</v>
      </c>
      <c r="C25" s="55" t="s">
        <v>83</v>
      </c>
      <c r="D25" s="38">
        <v>45</v>
      </c>
      <c r="E25" s="38">
        <v>300</v>
      </c>
      <c r="F25" s="41" t="s">
        <v>84</v>
      </c>
      <c r="G25" s="41"/>
      <c r="H25" s="45">
        <f t="shared" si="1"/>
        <v>13500</v>
      </c>
      <c r="I25" s="41"/>
      <c r="L25" s="15" t="s">
        <v>85</v>
      </c>
    </row>
    <row r="26" spans="1:14">
      <c r="A26" s="38" t="s">
        <v>86</v>
      </c>
      <c r="B26" s="31" t="s">
        <v>87</v>
      </c>
      <c r="C26" s="29"/>
      <c r="D26" s="38">
        <v>45</v>
      </c>
      <c r="E26" s="38"/>
      <c r="F26" s="41">
        <v>0</v>
      </c>
      <c r="G26" s="41"/>
      <c r="H26" s="45">
        <f t="shared" si="1"/>
        <v>0</v>
      </c>
      <c r="I26" s="41"/>
    </row>
    <row r="27" spans="1:14">
      <c r="A27" s="38" t="s">
        <v>88</v>
      </c>
      <c r="B27" s="31" t="s">
        <v>89</v>
      </c>
      <c r="C27" s="39"/>
      <c r="D27" s="38">
        <v>45</v>
      </c>
      <c r="E27" s="38"/>
      <c r="F27" s="41">
        <v>0</v>
      </c>
      <c r="G27" s="41"/>
      <c r="H27" s="45">
        <f t="shared" si="1"/>
        <v>0</v>
      </c>
      <c r="I27" s="41"/>
    </row>
    <row r="28" spans="1:14">
      <c r="A28" s="38" t="s">
        <v>90</v>
      </c>
      <c r="B28" s="30" t="s">
        <v>91</v>
      </c>
      <c r="C28" s="39"/>
      <c r="D28" s="38">
        <v>45</v>
      </c>
      <c r="E28" s="38"/>
      <c r="F28" s="41">
        <v>0</v>
      </c>
      <c r="G28" s="41"/>
      <c r="H28" s="45">
        <f t="shared" si="1"/>
        <v>0</v>
      </c>
      <c r="I28" s="41"/>
    </row>
    <row r="29" spans="1:14" ht="56.15" customHeight="1">
      <c r="A29" s="38" t="s">
        <v>92</v>
      </c>
      <c r="B29" s="30" t="s">
        <v>93</v>
      </c>
      <c r="C29" s="29" t="s">
        <v>94</v>
      </c>
      <c r="D29" s="38">
        <v>45</v>
      </c>
      <c r="E29" s="38"/>
      <c r="F29" s="41" t="s">
        <v>95</v>
      </c>
      <c r="G29" s="41"/>
      <c r="H29" s="45">
        <f t="shared" si="1"/>
        <v>0</v>
      </c>
      <c r="I29" s="41"/>
      <c r="L29" s="43" t="s">
        <v>96</v>
      </c>
    </row>
    <row r="30" spans="1:14" ht="56.15" customHeight="1">
      <c r="A30" s="38"/>
      <c r="B30" s="30" t="s">
        <v>97</v>
      </c>
      <c r="C30" s="29"/>
      <c r="D30" s="38">
        <v>45</v>
      </c>
      <c r="E30" s="38">
        <v>162</v>
      </c>
      <c r="F30" s="41"/>
      <c r="G30" s="41"/>
      <c r="H30" s="45">
        <f t="shared" si="1"/>
        <v>7290</v>
      </c>
      <c r="I30" s="41"/>
    </row>
    <row r="31" spans="1:14" ht="56.15" customHeight="1">
      <c r="A31" s="38"/>
      <c r="B31" s="30" t="s">
        <v>98</v>
      </c>
      <c r="C31" s="29"/>
      <c r="D31" s="38"/>
      <c r="E31" s="38"/>
      <c r="F31" s="41"/>
      <c r="G31" s="41"/>
      <c r="H31" s="45">
        <v>2000</v>
      </c>
      <c r="I31" s="41"/>
    </row>
    <row r="32" spans="1:14">
      <c r="E32" s="57" t="s">
        <v>99</v>
      </c>
      <c r="F32" s="18">
        <f>H32/45</f>
        <v>3761</v>
      </c>
      <c r="H32" s="56">
        <f>SUM(H2:H31)</f>
        <v>169245</v>
      </c>
    </row>
  </sheetData>
  <phoneticPr fontId="4" type="noConversion"/>
  <hyperlinks>
    <hyperlink ref="L7" r:id="rId1" xr:uid="{26CC0784-3AE8-4745-BA59-FC743716C3C0}"/>
    <hyperlink ref="L8" r:id="rId2" display="https://keez-shop.com/products/%D7%A7%D7%99%D7%96-%D7%9E%D7%97%D7%96%D7%99%D7%A7-%D7%9E%D7%A4%D7%AA%D7%97%D7%95%D7%AA-%D7%91%D7%A2%D7%99%D7%A6%D7%95%D7%91-%D7%90%D7%99%D7%A9%D7%99" xr:uid="{86F3A0D5-2E2D-4CA2-AF66-1C4512BBAAA7}"/>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4A4ED-DEDE-4797-870E-C9F753001327}">
  <dimension ref="A1:D10"/>
  <sheetViews>
    <sheetView rightToLeft="1" topLeftCell="A5" workbookViewId="0">
      <selection activeCell="B8" sqref="B8"/>
    </sheetView>
  </sheetViews>
  <sheetFormatPr defaultRowHeight="14"/>
  <cols>
    <col min="1" max="1" width="46" customWidth="1"/>
    <col min="2" max="2" width="20.58203125" customWidth="1"/>
    <col min="3" max="3" width="51.08203125" customWidth="1"/>
    <col min="4" max="4" width="23" customWidth="1"/>
  </cols>
  <sheetData>
    <row r="1" spans="1:4">
      <c r="A1" s="2" t="s">
        <v>100</v>
      </c>
      <c r="B1" s="2" t="s">
        <v>101</v>
      </c>
      <c r="C1" s="2" t="s">
        <v>5</v>
      </c>
      <c r="D1" s="2" t="s">
        <v>7</v>
      </c>
    </row>
    <row r="2" spans="1:4">
      <c r="A2" s="4" t="s">
        <v>102</v>
      </c>
      <c r="B2" s="5" t="s">
        <v>103</v>
      </c>
      <c r="C2" s="6" t="s">
        <v>104</v>
      </c>
      <c r="D2" s="5"/>
    </row>
    <row r="3" spans="1:4" ht="92.15" customHeight="1">
      <c r="A3" s="7" t="s">
        <v>105</v>
      </c>
      <c r="B3" s="16" t="s">
        <v>106</v>
      </c>
      <c r="C3" s="17" t="s">
        <v>107</v>
      </c>
      <c r="D3" s="16" t="s">
        <v>108</v>
      </c>
    </row>
    <row r="4" spans="1:4" ht="44.5" customHeight="1">
      <c r="A4" s="8" t="s">
        <v>109</v>
      </c>
      <c r="B4" s="5"/>
      <c r="C4" s="6"/>
      <c r="D4" s="5"/>
    </row>
    <row r="5" spans="1:4" ht="28">
      <c r="A5" s="9" t="s">
        <v>110</v>
      </c>
      <c r="B5" s="6" t="s">
        <v>111</v>
      </c>
      <c r="C5" s="6" t="s">
        <v>112</v>
      </c>
      <c r="D5" s="28" t="s">
        <v>113</v>
      </c>
    </row>
    <row r="6" spans="1:4" ht="29.5" customHeight="1">
      <c r="A6" s="10" t="s">
        <v>114</v>
      </c>
      <c r="B6" s="6" t="s">
        <v>115</v>
      </c>
      <c r="C6" s="6" t="s">
        <v>116</v>
      </c>
      <c r="D6" s="5" t="s">
        <v>117</v>
      </c>
    </row>
    <row r="7" spans="1:4">
      <c r="A7" s="12" t="s">
        <v>118</v>
      </c>
      <c r="B7" s="5">
        <v>2</v>
      </c>
      <c r="C7" s="5"/>
      <c r="D7" s="5"/>
    </row>
    <row r="8" spans="1:4" ht="168">
      <c r="A8" s="13" t="s">
        <v>119</v>
      </c>
      <c r="B8" s="6" t="s">
        <v>120</v>
      </c>
      <c r="C8" s="3" t="s">
        <v>121</v>
      </c>
      <c r="D8" s="18" t="s">
        <v>122</v>
      </c>
    </row>
    <row r="9" spans="1:4" ht="28">
      <c r="A9" s="14" t="s">
        <v>123</v>
      </c>
      <c r="B9" s="5" t="s">
        <v>124</v>
      </c>
      <c r="C9" s="6" t="s">
        <v>125</v>
      </c>
      <c r="D9" s="5" t="s">
        <v>126</v>
      </c>
    </row>
    <row r="10" spans="1:4">
      <c r="A10" s="11"/>
      <c r="B10" s="11"/>
      <c r="C10" s="11"/>
      <c r="D1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F4F9-671E-491F-AD65-8A7E13432154}">
  <dimension ref="A1:C7"/>
  <sheetViews>
    <sheetView rightToLeft="1" workbookViewId="0">
      <selection activeCell="A14" sqref="A14"/>
    </sheetView>
  </sheetViews>
  <sheetFormatPr defaultRowHeight="14"/>
  <cols>
    <col min="1" max="1" width="40.08203125" customWidth="1"/>
    <col min="2" max="2" width="35.08203125" customWidth="1"/>
    <col min="3" max="3" width="60.58203125" customWidth="1"/>
  </cols>
  <sheetData>
    <row r="1" spans="1:3">
      <c r="A1" s="21" t="s">
        <v>127</v>
      </c>
      <c r="B1" s="21" t="s">
        <v>0</v>
      </c>
      <c r="C1" s="21" t="s">
        <v>128</v>
      </c>
    </row>
    <row r="2" spans="1:3">
      <c r="A2" s="23" t="s">
        <v>129</v>
      </c>
      <c r="B2" s="6"/>
      <c r="C2" s="6"/>
    </row>
    <row r="3" spans="1:3">
      <c r="A3" s="4" t="s">
        <v>130</v>
      </c>
      <c r="B3" s="6"/>
      <c r="C3" s="6"/>
    </row>
    <row r="4" spans="1:3" ht="28">
      <c r="A4" s="22" t="s">
        <v>114</v>
      </c>
      <c r="B4" s="6"/>
      <c r="C4" s="6"/>
    </row>
    <row r="5" spans="1:3">
      <c r="A5" s="24"/>
      <c r="B5" s="24"/>
      <c r="C5" s="24"/>
    </row>
    <row r="6" spans="1:3">
      <c r="A6" s="20"/>
      <c r="B6" s="20"/>
      <c r="C6" s="20"/>
    </row>
    <row r="7" spans="1:3">
      <c r="A7" s="20"/>
      <c r="B7" s="20"/>
      <c r="C7"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פירוט הוצאות </vt:lpstr>
      <vt:lpstr>הוצאות נוספות</vt:lpstr>
      <vt:lpstr>מפגשים במטה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נופר</dc:creator>
  <cp:keywords/>
  <dc:description/>
  <cp:lastModifiedBy>Vlada Traiko</cp:lastModifiedBy>
  <cp:revision/>
  <dcterms:created xsi:type="dcterms:W3CDTF">2021-12-16T15:00:56Z</dcterms:created>
  <dcterms:modified xsi:type="dcterms:W3CDTF">2026-02-22T12:55:40Z</dcterms:modified>
  <cp:category/>
  <cp:contentStatus/>
</cp:coreProperties>
</file>